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75" yWindow="525" windowWidth="16005" windowHeight="8490"/>
  </bookViews>
  <sheets>
    <sheet name="Dataset" sheetId="1" r:id="rId1"/>
    <sheet name="Exercises" sheetId="2" r:id="rId2"/>
  </sheets>
  <calcPr calcId="144525"/>
</workbook>
</file>

<file path=xl/calcChain.xml><?xml version="1.0" encoding="utf-8"?>
<calcChain xmlns="http://schemas.openxmlformats.org/spreadsheetml/2006/main">
  <c r="J35" i="1" l="1"/>
  <c r="J27" i="1"/>
  <c r="J51" i="1"/>
  <c r="J50" i="1"/>
  <c r="J49" i="1"/>
  <c r="J48" i="1"/>
  <c r="J47" i="1"/>
  <c r="J46" i="1"/>
  <c r="J45" i="1" l="1"/>
  <c r="J44" i="1"/>
  <c r="J43" i="1"/>
  <c r="J42" i="1"/>
  <c r="J41" i="1"/>
  <c r="J40" i="1"/>
  <c r="J39" i="1"/>
  <c r="J37" i="1"/>
  <c r="J38" i="1"/>
  <c r="J36" i="1"/>
  <c r="J34" i="1"/>
  <c r="J33" i="1"/>
  <c r="J26" i="1"/>
  <c r="J32" i="1"/>
  <c r="J31" i="1"/>
  <c r="J30" i="1"/>
  <c r="J29" i="1"/>
  <c r="J28" i="1"/>
  <c r="J25" i="1"/>
  <c r="J23" i="1"/>
  <c r="J22" i="1"/>
  <c r="J21" i="1"/>
  <c r="J20" i="1" l="1"/>
  <c r="J14" i="1"/>
  <c r="J19" i="1"/>
  <c r="J18" i="1"/>
  <c r="J11" i="1"/>
  <c r="J17" i="1" l="1"/>
  <c r="J16" i="1"/>
  <c r="J15" i="1"/>
  <c r="J13" i="1"/>
  <c r="J12" i="1"/>
  <c r="J7" i="1"/>
  <c r="J10" i="1"/>
  <c r="J9" i="1"/>
  <c r="J5" i="1"/>
  <c r="J8" i="1"/>
  <c r="J6" i="1"/>
  <c r="J4" i="1"/>
  <c r="J3" i="1"/>
  <c r="J2" i="1"/>
</calcChain>
</file>

<file path=xl/sharedStrings.xml><?xml version="1.0" encoding="utf-8"?>
<sst xmlns="http://schemas.openxmlformats.org/spreadsheetml/2006/main" count="411" uniqueCount="312">
  <si>
    <t>ID</t>
  </si>
  <si>
    <t>Full Name</t>
  </si>
  <si>
    <t>Email</t>
  </si>
  <si>
    <t>Phone</t>
  </si>
  <si>
    <t>City</t>
  </si>
  <si>
    <t>Employee Code</t>
  </si>
  <si>
    <t>Notes</t>
  </si>
  <si>
    <t>Raj Kumar</t>
  </si>
  <si>
    <t>raj.kumar@gmail.com</t>
  </si>
  <si>
    <t>9876543210</t>
  </si>
  <si>
    <t>Chennai</t>
  </si>
  <si>
    <t>EMP-CHN-2024</t>
  </si>
  <si>
    <t>Aspiring for promotion</t>
  </si>
  <si>
    <t>Priya Mani</t>
  </si>
  <si>
    <t>priya_mani@yahoo.com</t>
  </si>
  <si>
    <t>9898123471</t>
  </si>
  <si>
    <t>Madurai</t>
  </si>
  <si>
    <t>EMP-MDU-1432</t>
  </si>
  <si>
    <t>On maternity leave</t>
  </si>
  <si>
    <t>Karthik S</t>
  </si>
  <si>
    <t>karthik.s@outlook.com</t>
  </si>
  <si>
    <t>9001234567</t>
  </si>
  <si>
    <t>Coimbatore</t>
  </si>
  <si>
    <t>EMP-CBE-1834</t>
  </si>
  <si>
    <t>Part-time</t>
  </si>
  <si>
    <t>Sneha R</t>
  </si>
  <si>
    <t>sneha.r@gmail.com</t>
  </si>
  <si>
    <t>9945627812</t>
  </si>
  <si>
    <t>Salem</t>
  </si>
  <si>
    <t>EMP-SLM-2765</t>
  </si>
  <si>
    <t>Top performer</t>
  </si>
  <si>
    <t>Manoj L</t>
  </si>
  <si>
    <t>manoj_l@yahoo.in</t>
  </si>
  <si>
    <t>9123456678</t>
  </si>
  <si>
    <t>Trichy</t>
  </si>
  <si>
    <t>EMP-TRY-9876</t>
  </si>
  <si>
    <t>Documentation pending</t>
  </si>
  <si>
    <t>Asha Devi</t>
  </si>
  <si>
    <t>asha.devi@hotmail.com</t>
  </si>
  <si>
    <t>9812345098</t>
  </si>
  <si>
    <t>EMP-CHN-7654</t>
  </si>
  <si>
    <t>New joiner</t>
  </si>
  <si>
    <t>Deepak M</t>
  </si>
  <si>
    <t>deepakm123@gmail.com</t>
  </si>
  <si>
    <t>9786543201</t>
  </si>
  <si>
    <t>Erode</t>
  </si>
  <si>
    <t>EMP-ERD-4456</t>
  </si>
  <si>
    <t>Transferred recently</t>
  </si>
  <si>
    <t>Anitha P</t>
  </si>
  <si>
    <t>anitha.p@company.com</t>
  </si>
  <si>
    <t>9798123400</t>
  </si>
  <si>
    <t>EMP-MDU-5644</t>
  </si>
  <si>
    <t>Remote worker</t>
  </si>
  <si>
    <t>Vignesh R</t>
  </si>
  <si>
    <t>vicky.r@gmail.com</t>
  </si>
  <si>
    <t>9801122334</t>
  </si>
  <si>
    <t>EMP-CHN-3345</t>
  </si>
  <si>
    <t>Needs training</t>
  </si>
  <si>
    <t>Saranya K</t>
  </si>
  <si>
    <t>saranya.k@info.in</t>
  </si>
  <si>
    <t>9867102345</t>
  </si>
  <si>
    <t>EMP-SLM-6755</t>
  </si>
  <si>
    <t>Excellent attendance</t>
  </si>
  <si>
    <t>Hari Prasad</t>
  </si>
  <si>
    <t>hariprasad07@gmail.com</t>
  </si>
  <si>
    <t>9815672345</t>
  </si>
  <si>
    <t>EMP-CBE-1122</t>
  </si>
  <si>
    <t>Pending appraisal</t>
  </si>
  <si>
    <t>Sudha L</t>
  </si>
  <si>
    <t>sudha_l@hotmail.com</t>
  </si>
  <si>
    <t>9823445678</t>
  </si>
  <si>
    <t>EMP-CHN-2311</t>
  </si>
  <si>
    <t>Leave request approved</t>
  </si>
  <si>
    <t>Bala Murugan</t>
  </si>
  <si>
    <t>bala.m@gmail.com</t>
  </si>
  <si>
    <t>9898776623</t>
  </si>
  <si>
    <t>EMP-MDU-4433</t>
  </si>
  <si>
    <t>Dinesh Kumar</t>
  </si>
  <si>
    <t>dinesh.k@company.org</t>
  </si>
  <si>
    <t>9765432109</t>
  </si>
  <si>
    <t>EMP-CBE-5566</t>
  </si>
  <si>
    <t>On probation</t>
  </si>
  <si>
    <t>Pavithra S</t>
  </si>
  <si>
    <t>pavi.s@gmail.com</t>
  </si>
  <si>
    <t>9945567891</t>
  </si>
  <si>
    <t>EMP-TRY-7722</t>
  </si>
  <si>
    <t>High potential</t>
  </si>
  <si>
    <t>Arunachalam P</t>
  </si>
  <si>
    <t>arun.p@office.com</t>
  </si>
  <si>
    <t>9009871234</t>
  </si>
  <si>
    <t>EMP-CHN-9901</t>
  </si>
  <si>
    <t>Contract renewal pending</t>
  </si>
  <si>
    <t>Ramya R</t>
  </si>
  <si>
    <t>ramya.r@yahoo.com</t>
  </si>
  <si>
    <t>7890654321</t>
  </si>
  <si>
    <t>EMP-ERD-6733</t>
  </si>
  <si>
    <t>Team lead</t>
  </si>
  <si>
    <t>Suresh B</t>
  </si>
  <si>
    <t>suresh_b@gmail.com</t>
  </si>
  <si>
    <t>8970654321</t>
  </si>
  <si>
    <t>EMP-SLM-9955</t>
  </si>
  <si>
    <t>Medical leave</t>
  </si>
  <si>
    <t>Leela Devi</t>
  </si>
  <si>
    <t>leela.devi@info.com</t>
  </si>
  <si>
    <t>9345612789</t>
  </si>
  <si>
    <t>EMP-MDU-2281</t>
  </si>
  <si>
    <t>Onboarding completed</t>
  </si>
  <si>
    <t>Pradeep S</t>
  </si>
  <si>
    <t>pradeep.s@company.com</t>
  </si>
  <si>
    <t>9123409876</t>
  </si>
  <si>
    <t>EMP-CHN-8812</t>
  </si>
  <si>
    <t>Needs mentorship</t>
  </si>
  <si>
    <t>Gayathri M</t>
  </si>
  <si>
    <t>gayu.m@yahoo.in</t>
  </si>
  <si>
    <t>9867123490</t>
  </si>
  <si>
    <t>EMP-CBE-0088</t>
  </si>
  <si>
    <t>Internal transfer</t>
  </si>
  <si>
    <t>Ajay K</t>
  </si>
  <si>
    <t>ajay.k@gmail.com</t>
  </si>
  <si>
    <t>9001900234</t>
  </si>
  <si>
    <t>EMP-MDU-3321</t>
  </si>
  <si>
    <t>On time always</t>
  </si>
  <si>
    <t>Krishna B</t>
  </si>
  <si>
    <t>krish.b@office.in</t>
  </si>
  <si>
    <t>9090909090</t>
  </si>
  <si>
    <t>EMP-CHN-8814</t>
  </si>
  <si>
    <t>Poor attendance</t>
  </si>
  <si>
    <t>Sangeetha P</t>
  </si>
  <si>
    <t>sangee.p@gmail.com</t>
  </si>
  <si>
    <t>9797979797</t>
  </si>
  <si>
    <t>EMP-ERD-2244</t>
  </si>
  <si>
    <t>Team player</t>
  </si>
  <si>
    <t>Monisha T</t>
  </si>
  <si>
    <t>moni.t@company.com</t>
  </si>
  <si>
    <t>8123456789</t>
  </si>
  <si>
    <t>EMP-CBE-5561</t>
  </si>
  <si>
    <t>John Peter</t>
  </si>
  <si>
    <t>johnpeter007@gmail.com</t>
  </si>
  <si>
    <t>9654321870</t>
  </si>
  <si>
    <t>EMP-CHN-1044</t>
  </si>
  <si>
    <t>International client</t>
  </si>
  <si>
    <t>Meena Lakshmi</t>
  </si>
  <si>
    <t>meena.l@office.org</t>
  </si>
  <si>
    <t>9765123490</t>
  </si>
  <si>
    <t>EMP-MDU-8891</t>
  </si>
  <si>
    <t>Project lead</t>
  </si>
  <si>
    <t>Hemachandran M</t>
  </si>
  <si>
    <t>hem.m@gmail.com</t>
  </si>
  <si>
    <t>9123987654</t>
  </si>
  <si>
    <t>EMP-TRY-6611</t>
  </si>
  <si>
    <t>Shift worker</t>
  </si>
  <si>
    <t>Divya S</t>
  </si>
  <si>
    <t>divyas@yahoo.com</t>
  </si>
  <si>
    <t>9234567812</t>
  </si>
  <si>
    <t>EMP-ERD-3341</t>
  </si>
  <si>
    <t>Pending validation</t>
  </si>
  <si>
    <t>Rohit J</t>
  </si>
  <si>
    <t>rohit.j@hotmail.com</t>
  </si>
  <si>
    <t>9871203456</t>
  </si>
  <si>
    <t>EMP-CHN-7134</t>
  </si>
  <si>
    <t>Training completed</t>
  </si>
  <si>
    <t>Aishwarya D</t>
  </si>
  <si>
    <t>aishu.d@gmail.com</t>
  </si>
  <si>
    <t>9803456721</t>
  </si>
  <si>
    <t>EMP-SLM-9023</t>
  </si>
  <si>
    <t>Probation extended</t>
  </si>
  <si>
    <t>Kavin G</t>
  </si>
  <si>
    <t>kavin.g@company.com</t>
  </si>
  <si>
    <t>9098123456</t>
  </si>
  <si>
    <t>EMP-MDU-1199</t>
  </si>
  <si>
    <t>Strong communication</t>
  </si>
  <si>
    <t>Preethi N</t>
  </si>
  <si>
    <t>preethi.n@gmail.com</t>
  </si>
  <si>
    <t>9000765432</t>
  </si>
  <si>
    <t>EMP-ERD-3377</t>
  </si>
  <si>
    <t>Shift change requested</t>
  </si>
  <si>
    <t>Varun S</t>
  </si>
  <si>
    <t>varun_s@yahoo.com</t>
  </si>
  <si>
    <t>9345678123</t>
  </si>
  <si>
    <t>EMP-CBE-4432</t>
  </si>
  <si>
    <t>Good performer</t>
  </si>
  <si>
    <t>Keerthana P</t>
  </si>
  <si>
    <t>keerthi.p@gmail.com</t>
  </si>
  <si>
    <t>9865120901</t>
  </si>
  <si>
    <t>EMP-SLM-7731</t>
  </si>
  <si>
    <t>New trainee</t>
  </si>
  <si>
    <t>Siddharth R</t>
  </si>
  <si>
    <t>sid.r@office.com</t>
  </si>
  <si>
    <t>9234509876</t>
  </si>
  <si>
    <t>EMP-CHN-6654</t>
  </si>
  <si>
    <t>On promotion cycle</t>
  </si>
  <si>
    <t>Radha R</t>
  </si>
  <si>
    <t>radhar@gmail.com</t>
  </si>
  <si>
    <t>9345609871</t>
  </si>
  <si>
    <t>EMP-MDU-2201</t>
  </si>
  <si>
    <t>Flexible timing</t>
  </si>
  <si>
    <t>Naveen L</t>
  </si>
  <si>
    <t>navi.l@company.in</t>
  </si>
  <si>
    <t>9123978564</t>
  </si>
  <si>
    <t>EMP-ERD-6678</t>
  </si>
  <si>
    <t>Waiting for feedback</t>
  </si>
  <si>
    <t>Swathi K</t>
  </si>
  <si>
    <t>swathi.k@yahoo.com</t>
  </si>
  <si>
    <t>9812345678</t>
  </si>
  <si>
    <t>EMP-CBE-8890</t>
  </si>
  <si>
    <t>Project completed</t>
  </si>
  <si>
    <t>Mohan Raj</t>
  </si>
  <si>
    <t>mohan.r@gmail.com</t>
  </si>
  <si>
    <t>9888123455</t>
  </si>
  <si>
    <t>EMP-TRY-4412</t>
  </si>
  <si>
    <t>Needs improvement</t>
  </si>
  <si>
    <t>Tharani R</t>
  </si>
  <si>
    <t>tharani.r@office.org</t>
  </si>
  <si>
    <t>9876501234</t>
  </si>
  <si>
    <t>EMP-MDU-1212</t>
  </si>
  <si>
    <t>Cross-training</t>
  </si>
  <si>
    <t>Santhosh P</t>
  </si>
  <si>
    <t>san.p@gmail.com</t>
  </si>
  <si>
    <t>9345067123</t>
  </si>
  <si>
    <t>EMP-CHN-3409</t>
  </si>
  <si>
    <t>Updated records</t>
  </si>
  <si>
    <t>Maha L</t>
  </si>
  <si>
    <t>maha.l@yahoo.com</t>
  </si>
  <si>
    <t>9234012678</t>
  </si>
  <si>
    <t>EMP-ERD-5551</t>
  </si>
  <si>
    <t>No remarks</t>
  </si>
  <si>
    <t>Sujith S</t>
  </si>
  <si>
    <t>sujith_s@gmail.com</t>
  </si>
  <si>
    <t>9807604321</t>
  </si>
  <si>
    <t>EMP-CBE-7788</t>
  </si>
  <si>
    <t>Training needed</t>
  </si>
  <si>
    <t>Selvi T</t>
  </si>
  <si>
    <t>selvi.t@company.in</t>
  </si>
  <si>
    <t>9091765432</t>
  </si>
  <si>
    <t>EMP-SLM-2210</t>
  </si>
  <si>
    <t>Skill development</t>
  </si>
  <si>
    <t>Harsha V</t>
  </si>
  <si>
    <t>harsha.v@gmail.com</t>
  </si>
  <si>
    <t>9345678012</t>
  </si>
  <si>
    <t>EMP-CHN-9903</t>
  </si>
  <si>
    <t>Top contributor</t>
  </si>
  <si>
    <t>Jenifer R</t>
  </si>
  <si>
    <t>jenifer.r@hotmail.com</t>
  </si>
  <si>
    <t>8123098765</t>
  </si>
  <si>
    <t>EMP-MDU-7651</t>
  </si>
  <si>
    <t>Good quality work</t>
  </si>
  <si>
    <t>Sethu Raman</t>
  </si>
  <si>
    <t>sethur@office.com</t>
  </si>
  <si>
    <t>9123456702</t>
  </si>
  <si>
    <t>EMP-CBE-1188</t>
  </si>
  <si>
    <t>Rehire recommended</t>
  </si>
  <si>
    <t>Monika Devi</t>
  </si>
  <si>
    <t>monika_d@info.in</t>
  </si>
  <si>
    <t>9098234567</t>
  </si>
  <si>
    <t>EMP-SLM-3324</t>
  </si>
  <si>
    <t>Sankar M</t>
  </si>
  <si>
    <t>sankar.m@gmail.com</t>
  </si>
  <si>
    <t>9234567098</t>
  </si>
  <si>
    <t>EMP-CHN-2299</t>
  </si>
  <si>
    <t>Probation cleared</t>
  </si>
  <si>
    <t>No.</t>
  </si>
  <si>
    <t>Exercise (String Functions Only)</t>
  </si>
  <si>
    <t>Extract First Name from Full Name</t>
  </si>
  <si>
    <t>Extract Last Name</t>
  </si>
  <si>
    <t>Convert Full Name to UPPERCASE</t>
  </si>
  <si>
    <t>Convert Full Name to Proper Case</t>
  </si>
  <si>
    <t>Find length of Full Name</t>
  </si>
  <si>
    <t>Extract Email Domain</t>
  </si>
  <si>
    <t>Extract Email Username</t>
  </si>
  <si>
    <t>Extract last 4 digits of Phone</t>
  </si>
  <si>
    <t>Mask Phone Number</t>
  </si>
  <si>
    <t>Combine Name and City</t>
  </si>
  <si>
    <t>Extract City Code from Employee Code</t>
  </si>
  <si>
    <t>Extract Numeric Part of Employee Code</t>
  </si>
  <si>
    <t>Check if Email contains 'gmail'</t>
  </si>
  <si>
    <t>Find position of '@' in Email</t>
  </si>
  <si>
    <t>Extract everything after '@'</t>
  </si>
  <si>
    <t>Create Staff ID: first 3 letters + last 2 phone digits</t>
  </si>
  <si>
    <t>Remove dots from Full Name</t>
  </si>
  <si>
    <t>Replace hyphens in Employee Code with spaces</t>
  </si>
  <si>
    <t>Extract first 5 letters of Full Name</t>
  </si>
  <si>
    <t>Extract Initials</t>
  </si>
  <si>
    <t>Combine Name, City and ID</t>
  </si>
  <si>
    <t>Count characters excluding spaces</t>
  </si>
  <si>
    <t>Extract text inside parentheses from Notes</t>
  </si>
  <si>
    <t>Remove 'EMP-' from Employee Code</t>
  </si>
  <si>
    <t>Convert Notes to Sentence Case</t>
  </si>
  <si>
    <t>Extract last word of Notes</t>
  </si>
  <si>
    <t>Remove domain extension from Email</t>
  </si>
  <si>
    <t>Reverse Full Name</t>
  </si>
  <si>
    <t>Count vowels in Full Name</t>
  </si>
  <si>
    <t>Extract second word from Notes</t>
  </si>
  <si>
    <t>Extract city from Employee Code</t>
  </si>
  <si>
    <t>Create username: name + ID</t>
  </si>
  <si>
    <t>Remove numbers from Employee Code</t>
  </si>
  <si>
    <t>Extract only digits from Employee Code</t>
  </si>
  <si>
    <t>Check if Full Name &gt; 10 characters</t>
  </si>
  <si>
    <t>Extract only letters from Email username</t>
  </si>
  <si>
    <t>Extract only digits from Phone</t>
  </si>
  <si>
    <t>Mask Email username</t>
  </si>
  <si>
    <t>Create 8-character password from Full Name</t>
  </si>
  <si>
    <t>Capitalize only last name</t>
  </si>
  <si>
    <t>Merge City + last 3 phone digits</t>
  </si>
  <si>
    <t>Extract middle letter(s) of city</t>
  </si>
  <si>
    <t>Replace city with uppercase in a sentence</t>
  </si>
  <si>
    <t>Short code from Notes (initial of each word)</t>
  </si>
  <si>
    <t>Employee short tag (initials + city code)</t>
  </si>
  <si>
    <t>Check if name contains '.'</t>
  </si>
  <si>
    <t>Extract first word from Full Name</t>
  </si>
  <si>
    <t>Extract last word from Full Name</t>
  </si>
  <si>
    <t>Standardize phone: +91-number</t>
  </si>
  <si>
    <t>Count words in 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</si>
</sst>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"/>
  <sheetViews>
    <sheetView tabSelected="1" topLeftCell="B16" zoomScale="90" zoomScaleNormal="90" workbookViewId="0">
      <selection activeCell="K35" sqref="K35"/>
    </sheetView>
  </sheetViews>
  <sheetFormatPr defaultRowHeight="15" x14ac:dyDescent="0.25"/>
  <cols>
    <col min="2" max="2" width="19.85546875" customWidth="1"/>
    <col min="3" max="3" width="24.5703125" customWidth="1"/>
    <col min="4" max="4" width="18.5703125" customWidth="1"/>
    <col min="5" max="5" width="16" customWidth="1"/>
    <col min="6" max="6" width="16.140625" customWidth="1"/>
    <col min="7" max="7" width="31.85546875" customWidth="1"/>
    <col min="9" max="9" width="45.7109375" customWidth="1"/>
  </cols>
  <sheetData>
    <row r="1" spans="1:10" ht="14.4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260</v>
      </c>
      <c r="I1" s="1" t="s">
        <v>261</v>
      </c>
    </row>
    <row r="2" spans="1:10" ht="14.45" x14ac:dyDescent="0.35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>
        <v>1</v>
      </c>
      <c r="I2" t="s">
        <v>262</v>
      </c>
      <c r="J2" t="str">
        <f>LEFT(B2,3)</f>
        <v>Raj</v>
      </c>
    </row>
    <row r="3" spans="1:10" ht="14.45" x14ac:dyDescent="0.35">
      <c r="A3">
        <v>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>
        <v>2</v>
      </c>
      <c r="I3" t="s">
        <v>263</v>
      </c>
      <c r="J3" t="str">
        <f>RIGHT(B3,4)</f>
        <v>Mani</v>
      </c>
    </row>
    <row r="4" spans="1:10" ht="14.45" x14ac:dyDescent="0.35">
      <c r="A4">
        <v>3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>
        <v>3</v>
      </c>
      <c r="I4" t="s">
        <v>264</v>
      </c>
      <c r="J4" t="str">
        <f>UPPER(E3)</f>
        <v>MADURAI</v>
      </c>
    </row>
    <row r="5" spans="1:10" ht="14.45" x14ac:dyDescent="0.35">
      <c r="A5">
        <v>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  <c r="G5" t="s">
        <v>30</v>
      </c>
      <c r="H5">
        <v>4</v>
      </c>
      <c r="I5" t="s">
        <v>265</v>
      </c>
      <c r="J5" t="str">
        <f>PROPER(B40)</f>
        <v>Swathi K</v>
      </c>
    </row>
    <row r="6" spans="1:10" ht="14.45" x14ac:dyDescent="0.35">
      <c r="A6">
        <v>5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>
        <v>5</v>
      </c>
      <c r="I6" t="s">
        <v>266</v>
      </c>
      <c r="J6">
        <f>LEN(B7)</f>
        <v>9</v>
      </c>
    </row>
    <row r="7" spans="1:10" ht="14.45" x14ac:dyDescent="0.35">
      <c r="A7">
        <v>6</v>
      </c>
      <c r="B7" t="s">
        <v>37</v>
      </c>
      <c r="C7" t="s">
        <v>38</v>
      </c>
      <c r="D7" t="s">
        <v>39</v>
      </c>
      <c r="E7" t="s">
        <v>10</v>
      </c>
      <c r="F7" t="s">
        <v>40</v>
      </c>
      <c r="G7" t="s">
        <v>41</v>
      </c>
      <c r="H7">
        <v>6</v>
      </c>
      <c r="I7" t="s">
        <v>267</v>
      </c>
      <c r="J7" t="str">
        <f>MID(C10,FIND("@",C10)+1,LEN(C10))</f>
        <v>gmail.com</v>
      </c>
    </row>
    <row r="8" spans="1:10" ht="14.45" x14ac:dyDescent="0.35">
      <c r="A8">
        <v>7</v>
      </c>
      <c r="B8" t="s">
        <v>42</v>
      </c>
      <c r="C8" t="s">
        <v>43</v>
      </c>
      <c r="D8" t="s">
        <v>44</v>
      </c>
      <c r="E8" t="s">
        <v>45</v>
      </c>
      <c r="F8" t="s">
        <v>46</v>
      </c>
      <c r="G8" t="s">
        <v>47</v>
      </c>
      <c r="H8">
        <v>7</v>
      </c>
      <c r="I8" t="s">
        <v>268</v>
      </c>
      <c r="J8" t="str">
        <f>LEFT(C10,FIND("@",C10)-1)</f>
        <v>vicky.r</v>
      </c>
    </row>
    <row r="9" spans="1:10" ht="14.45" x14ac:dyDescent="0.35">
      <c r="A9">
        <v>8</v>
      </c>
      <c r="B9" t="s">
        <v>48</v>
      </c>
      <c r="C9" t="s">
        <v>49</v>
      </c>
      <c r="D9" t="s">
        <v>50</v>
      </c>
      <c r="E9" t="s">
        <v>16</v>
      </c>
      <c r="F9" t="s">
        <v>51</v>
      </c>
      <c r="G9" t="s">
        <v>52</v>
      </c>
      <c r="H9">
        <v>8</v>
      </c>
      <c r="I9" t="s">
        <v>269</v>
      </c>
      <c r="J9" t="str">
        <f>RIGHT(D9,4)</f>
        <v>3400</v>
      </c>
    </row>
    <row r="10" spans="1:10" x14ac:dyDescent="0.25">
      <c r="A10">
        <v>9</v>
      </c>
      <c r="B10" t="s">
        <v>53</v>
      </c>
      <c r="C10" t="s">
        <v>54</v>
      </c>
      <c r="D10" t="s">
        <v>55</v>
      </c>
      <c r="E10" t="s">
        <v>10</v>
      </c>
      <c r="F10" t="s">
        <v>56</v>
      </c>
      <c r="G10" t="s">
        <v>57</v>
      </c>
      <c r="H10">
        <v>9</v>
      </c>
      <c r="I10" t="s">
        <v>270</v>
      </c>
      <c r="J10" t="str">
        <f>"*******" &amp; RIGHT(D10,3)</f>
        <v>*******334</v>
      </c>
    </row>
    <row r="11" spans="1:10" x14ac:dyDescent="0.25">
      <c r="A11">
        <v>10</v>
      </c>
      <c r="B11" t="s">
        <v>58</v>
      </c>
      <c r="C11" t="s">
        <v>59</v>
      </c>
      <c r="D11" t="s">
        <v>60</v>
      </c>
      <c r="E11" t="s">
        <v>28</v>
      </c>
      <c r="F11" t="s">
        <v>61</v>
      </c>
      <c r="G11" t="s">
        <v>62</v>
      </c>
      <c r="H11">
        <v>10</v>
      </c>
      <c r="I11" t="s">
        <v>271</v>
      </c>
      <c r="J11" t="str">
        <f>B2 &amp; ", " &amp; E2</f>
        <v>Raj Kumar, Chennai</v>
      </c>
    </row>
    <row r="12" spans="1:10" x14ac:dyDescent="0.25">
      <c r="A12">
        <v>11</v>
      </c>
      <c r="B12" t="s">
        <v>63</v>
      </c>
      <c r="C12" t="s">
        <v>64</v>
      </c>
      <c r="D12" t="s">
        <v>65</v>
      </c>
      <c r="E12" t="s">
        <v>22</v>
      </c>
      <c r="F12" t="s">
        <v>66</v>
      </c>
      <c r="G12" t="s">
        <v>67</v>
      </c>
      <c r="H12">
        <v>11</v>
      </c>
      <c r="I12" t="s">
        <v>272</v>
      </c>
      <c r="J12" t="str">
        <f>MID(F2, 5, 3)</f>
        <v>CHN</v>
      </c>
    </row>
    <row r="13" spans="1:10" x14ac:dyDescent="0.25">
      <c r="A13">
        <v>12</v>
      </c>
      <c r="B13" t="s">
        <v>68</v>
      </c>
      <c r="C13" t="s">
        <v>69</v>
      </c>
      <c r="D13" t="s">
        <v>70</v>
      </c>
      <c r="E13" t="s">
        <v>10</v>
      </c>
      <c r="F13" t="s">
        <v>71</v>
      </c>
      <c r="G13" t="s">
        <v>72</v>
      </c>
      <c r="H13">
        <v>12</v>
      </c>
      <c r="I13" t="s">
        <v>273</v>
      </c>
      <c r="J13" t="str">
        <f>RIGHT(F2, LEN(F2)-8)</f>
        <v>2024</v>
      </c>
    </row>
    <row r="14" spans="1:10" x14ac:dyDescent="0.25">
      <c r="A14">
        <v>13</v>
      </c>
      <c r="B14" t="s">
        <v>73</v>
      </c>
      <c r="C14" t="s">
        <v>74</v>
      </c>
      <c r="D14" t="s">
        <v>75</v>
      </c>
      <c r="E14" t="s">
        <v>16</v>
      </c>
      <c r="F14" t="s">
        <v>76</v>
      </c>
      <c r="G14" t="s">
        <v>24</v>
      </c>
      <c r="H14">
        <v>13</v>
      </c>
      <c r="I14" t="s">
        <v>274</v>
      </c>
      <c r="J14" t="str">
        <f>IF(ISNUMBER(SEARCH("gmail", C2)), "Yes", "No")</f>
        <v>Yes</v>
      </c>
    </row>
    <row r="15" spans="1:10" x14ac:dyDescent="0.25">
      <c r="A15">
        <v>14</v>
      </c>
      <c r="B15" t="s">
        <v>77</v>
      </c>
      <c r="C15" t="s">
        <v>78</v>
      </c>
      <c r="D15" t="s">
        <v>79</v>
      </c>
      <c r="E15" t="s">
        <v>22</v>
      </c>
      <c r="F15" t="s">
        <v>80</v>
      </c>
      <c r="G15" t="s">
        <v>81</v>
      </c>
      <c r="H15">
        <v>14</v>
      </c>
      <c r="I15" t="s">
        <v>275</v>
      </c>
      <c r="J15">
        <f>FIND("@", C2)</f>
        <v>10</v>
      </c>
    </row>
    <row r="16" spans="1:10" x14ac:dyDescent="0.25">
      <c r="A16">
        <v>15</v>
      </c>
      <c r="B16" t="s">
        <v>82</v>
      </c>
      <c r="C16" t="s">
        <v>83</v>
      </c>
      <c r="D16" t="s">
        <v>84</v>
      </c>
      <c r="E16" t="s">
        <v>34</v>
      </c>
      <c r="F16" t="s">
        <v>85</v>
      </c>
      <c r="G16" t="s">
        <v>86</v>
      </c>
      <c r="H16">
        <v>15</v>
      </c>
      <c r="I16" t="s">
        <v>276</v>
      </c>
      <c r="J16" t="str">
        <f>MID(C15, FIND("@", C15)+1, LEN(C15))</f>
        <v>company.org</v>
      </c>
    </row>
    <row r="17" spans="1:10" x14ac:dyDescent="0.25">
      <c r="A17">
        <v>16</v>
      </c>
      <c r="B17" t="s">
        <v>87</v>
      </c>
      <c r="C17" t="s">
        <v>88</v>
      </c>
      <c r="D17" t="s">
        <v>89</v>
      </c>
      <c r="E17" t="s">
        <v>10</v>
      </c>
      <c r="F17" t="s">
        <v>90</v>
      </c>
      <c r="G17" t="s">
        <v>91</v>
      </c>
      <c r="H17">
        <v>16</v>
      </c>
      <c r="I17" t="s">
        <v>277</v>
      </c>
      <c r="J17" t="str">
        <f>UPPER(LEFT(B2,3) &amp; RIGHT(D2,2))</f>
        <v>RAJ10</v>
      </c>
    </row>
    <row r="18" spans="1:10" x14ac:dyDescent="0.25">
      <c r="A18">
        <v>17</v>
      </c>
      <c r="B18" t="s">
        <v>92</v>
      </c>
      <c r="C18" t="s">
        <v>93</v>
      </c>
      <c r="D18" t="s">
        <v>94</v>
      </c>
      <c r="E18" t="s">
        <v>45</v>
      </c>
      <c r="F18" t="s">
        <v>95</v>
      </c>
      <c r="G18" t="s">
        <v>96</v>
      </c>
      <c r="H18">
        <v>17</v>
      </c>
      <c r="I18" t="s">
        <v>278</v>
      </c>
      <c r="J18" t="str">
        <f>SUBSTITUTE(B2,"."," ")</f>
        <v>Raj Kumar</v>
      </c>
    </row>
    <row r="19" spans="1:10" ht="14.45" x14ac:dyDescent="0.35">
      <c r="A19">
        <v>18</v>
      </c>
      <c r="B19" t="s">
        <v>97</v>
      </c>
      <c r="C19" t="s">
        <v>98</v>
      </c>
      <c r="D19" t="s">
        <v>99</v>
      </c>
      <c r="E19" t="s">
        <v>28</v>
      </c>
      <c r="F19" t="s">
        <v>100</v>
      </c>
      <c r="G19" t="s">
        <v>101</v>
      </c>
      <c r="H19">
        <v>18</v>
      </c>
      <c r="I19" t="s">
        <v>279</v>
      </c>
      <c r="J19" t="str">
        <f>SUBSTITUTE(F2,"-"," ")</f>
        <v>EMP CHN 2024</v>
      </c>
    </row>
    <row r="20" spans="1:10" ht="14.45" x14ac:dyDescent="0.35">
      <c r="A20">
        <v>19</v>
      </c>
      <c r="B20" t="s">
        <v>102</v>
      </c>
      <c r="C20" t="s">
        <v>103</v>
      </c>
      <c r="D20" t="s">
        <v>104</v>
      </c>
      <c r="E20" t="s">
        <v>16</v>
      </c>
      <c r="F20" t="s">
        <v>105</v>
      </c>
      <c r="G20" t="s">
        <v>106</v>
      </c>
      <c r="H20">
        <v>19</v>
      </c>
      <c r="I20" t="s">
        <v>280</v>
      </c>
      <c r="J20" t="str">
        <f>LEFT(B2,5)</f>
        <v>Raj K</v>
      </c>
    </row>
    <row r="21" spans="1:10" ht="14.45" x14ac:dyDescent="0.35">
      <c r="A21">
        <v>20</v>
      </c>
      <c r="B21" t="s">
        <v>107</v>
      </c>
      <c r="C21" t="s">
        <v>108</v>
      </c>
      <c r="D21" t="s">
        <v>109</v>
      </c>
      <c r="E21" t="s">
        <v>10</v>
      </c>
      <c r="F21" t="s">
        <v>110</v>
      </c>
      <c r="G21" t="s">
        <v>111</v>
      </c>
      <c r="H21">
        <v>20</v>
      </c>
      <c r="I21" t="s">
        <v>281</v>
      </c>
      <c r="J21" t="str">
        <f>LEFT(B2,1)&amp;MID(B2,FIND(" ",B2)+1,1)</f>
        <v>RK</v>
      </c>
    </row>
    <row r="22" spans="1:10" ht="14.45" x14ac:dyDescent="0.35">
      <c r="A22">
        <v>21</v>
      </c>
      <c r="B22" t="s">
        <v>112</v>
      </c>
      <c r="C22" t="s">
        <v>113</v>
      </c>
      <c r="D22" t="s">
        <v>114</v>
      </c>
      <c r="E22" t="s">
        <v>22</v>
      </c>
      <c r="F22" t="s">
        <v>115</v>
      </c>
      <c r="G22" t="s">
        <v>116</v>
      </c>
      <c r="H22">
        <v>21</v>
      </c>
      <c r="I22" t="s">
        <v>282</v>
      </c>
      <c r="J22" t="str">
        <f>B2&amp;"-"&amp;E2&amp;"-"&amp;F2</f>
        <v>Raj Kumar-Chennai-EMP-CHN-2024</v>
      </c>
    </row>
    <row r="23" spans="1:10" ht="14.45" x14ac:dyDescent="0.35">
      <c r="A23">
        <v>22</v>
      </c>
      <c r="B23" t="s">
        <v>117</v>
      </c>
      <c r="C23" t="s">
        <v>118</v>
      </c>
      <c r="D23" t="s">
        <v>119</v>
      </c>
      <c r="E23" t="s">
        <v>16</v>
      </c>
      <c r="F23" t="s">
        <v>120</v>
      </c>
      <c r="G23" t="s">
        <v>121</v>
      </c>
      <c r="H23">
        <v>22</v>
      </c>
      <c r="I23" t="s">
        <v>283</v>
      </c>
      <c r="J23">
        <f>LEN(SUBSTITUTE(B2," "," "))</f>
        <v>9</v>
      </c>
    </row>
    <row r="24" spans="1:10" ht="14.45" x14ac:dyDescent="0.35">
      <c r="A24">
        <v>23</v>
      </c>
      <c r="B24" t="s">
        <v>122</v>
      </c>
      <c r="C24" t="s">
        <v>123</v>
      </c>
      <c r="D24" t="s">
        <v>124</v>
      </c>
      <c r="E24" t="s">
        <v>10</v>
      </c>
      <c r="F24" t="s">
        <v>125</v>
      </c>
      <c r="G24" t="s">
        <v>126</v>
      </c>
      <c r="H24">
        <v>23</v>
      </c>
      <c r="I24" t="s">
        <v>284</v>
      </c>
    </row>
    <row r="25" spans="1:10" ht="14.45" x14ac:dyDescent="0.35">
      <c r="A25">
        <v>24</v>
      </c>
      <c r="B25" t="s">
        <v>127</v>
      </c>
      <c r="C25" t="s">
        <v>128</v>
      </c>
      <c r="D25" t="s">
        <v>129</v>
      </c>
      <c r="E25" t="s">
        <v>45</v>
      </c>
      <c r="F25" t="s">
        <v>130</v>
      </c>
      <c r="G25" t="s">
        <v>131</v>
      </c>
      <c r="H25">
        <v>24</v>
      </c>
      <c r="I25" t="s">
        <v>285</v>
      </c>
      <c r="J25" t="str">
        <f>SUBSTITUTE(F2,"EMP-","")</f>
        <v>CHN-2024</v>
      </c>
    </row>
    <row r="26" spans="1:10" ht="14.45" x14ac:dyDescent="0.35">
      <c r="A26">
        <v>25</v>
      </c>
      <c r="B26" t="s">
        <v>132</v>
      </c>
      <c r="C26" t="s">
        <v>133</v>
      </c>
      <c r="D26" t="s">
        <v>134</v>
      </c>
      <c r="E26" t="s">
        <v>22</v>
      </c>
      <c r="F26" t="s">
        <v>135</v>
      </c>
      <c r="G26" t="s">
        <v>81</v>
      </c>
      <c r="H26">
        <v>25</v>
      </c>
      <c r="I26" t="s">
        <v>286</v>
      </c>
      <c r="J26" t="str">
        <f>UPPER(LEFT(G2,1))&amp;LOWER(MID(G2,2,LEN(G2)))</f>
        <v>Aspiring for promotion</v>
      </c>
    </row>
    <row r="27" spans="1:10" x14ac:dyDescent="0.25">
      <c r="A27">
        <v>26</v>
      </c>
      <c r="B27" t="s">
        <v>136</v>
      </c>
      <c r="C27" t="s">
        <v>137</v>
      </c>
      <c r="D27" t="s">
        <v>138</v>
      </c>
      <c r="E27" t="s">
        <v>10</v>
      </c>
      <c r="F27" t="s">
        <v>139</v>
      </c>
      <c r="G27" t="s">
        <v>140</v>
      </c>
      <c r="H27">
        <v>26</v>
      </c>
      <c r="I27" t="s">
        <v>287</v>
      </c>
      <c r="J27" t="str">
        <f>TRIM(RIGHT(G2,LEN(G2)-FIND(" ",G2,LEN(G2)-LEN(SUBSTITUTE(G2," ","")))))</f>
        <v>for promotion</v>
      </c>
    </row>
    <row r="28" spans="1:10" x14ac:dyDescent="0.25">
      <c r="A28">
        <v>27</v>
      </c>
      <c r="B28" t="s">
        <v>141</v>
      </c>
      <c r="C28" t="s">
        <v>142</v>
      </c>
      <c r="D28" t="s">
        <v>143</v>
      </c>
      <c r="E28" t="s">
        <v>16</v>
      </c>
      <c r="F28" t="s">
        <v>144</v>
      </c>
      <c r="G28" t="s">
        <v>145</v>
      </c>
      <c r="H28">
        <v>27</v>
      </c>
      <c r="I28" t="s">
        <v>288</v>
      </c>
      <c r="J28" t="str">
        <f>LEFT(C2,FIND(".",C2,FIND("@",C2))-1)</f>
        <v>raj.kumar@gmail</v>
      </c>
    </row>
    <row r="29" spans="1:10" x14ac:dyDescent="0.25">
      <c r="A29">
        <v>28</v>
      </c>
      <c r="B29" t="s">
        <v>146</v>
      </c>
      <c r="C29" t="s">
        <v>147</v>
      </c>
      <c r="D29" t="s">
        <v>148</v>
      </c>
      <c r="E29" t="s">
        <v>34</v>
      </c>
      <c r="F29" t="s">
        <v>149</v>
      </c>
      <c r="G29" t="s">
        <v>150</v>
      </c>
      <c r="H29">
        <v>28</v>
      </c>
      <c r="I29" t="s">
        <v>289</v>
      </c>
      <c r="J29" t="str">
        <f>TRIM(RIGHT(B2,LEN(B2)-FIND(" ",B2))&amp;" "&amp;LEFT(B2,FIND(" ",B2)-1))</f>
        <v>Kumar Raj</v>
      </c>
    </row>
    <row r="30" spans="1:10" x14ac:dyDescent="0.25">
      <c r="A30">
        <v>29</v>
      </c>
      <c r="B30" t="s">
        <v>151</v>
      </c>
      <c r="C30" t="s">
        <v>152</v>
      </c>
      <c r="D30" t="s">
        <v>153</v>
      </c>
      <c r="E30" t="s">
        <v>45</v>
      </c>
      <c r="F30" t="s">
        <v>154</v>
      </c>
      <c r="G30" t="s">
        <v>155</v>
      </c>
      <c r="H30">
        <v>29</v>
      </c>
      <c r="I30" t="s">
        <v>290</v>
      </c>
      <c r="J30">
        <f>LEN(B12)-LEN(SUBSTITUTE(SUBSTITUTE(SUBSTITUTE(SUBSTITUTE(SUBSTITUTE(B12,"a",""),"e",""),"i",""),"o",""),"u",""))</f>
        <v>4</v>
      </c>
    </row>
    <row r="31" spans="1:10" x14ac:dyDescent="0.25">
      <c r="A31">
        <v>30</v>
      </c>
      <c r="B31" t="s">
        <v>156</v>
      </c>
      <c r="C31" t="s">
        <v>157</v>
      </c>
      <c r="D31" t="s">
        <v>158</v>
      </c>
      <c r="E31" t="s">
        <v>10</v>
      </c>
      <c r="F31" t="s">
        <v>159</v>
      </c>
      <c r="G31" t="s">
        <v>160</v>
      </c>
      <c r="H31">
        <v>30</v>
      </c>
      <c r="I31" t="s">
        <v>291</v>
      </c>
      <c r="J31" t="str">
        <f>TRIM(MID(G2,FIND(" ",G2)+1,FIND(" ",G2,FIND(" ",G2)+1-FIND(" ",G2))))</f>
        <v>for promo</v>
      </c>
    </row>
    <row r="32" spans="1:10" x14ac:dyDescent="0.25">
      <c r="A32">
        <v>31</v>
      </c>
      <c r="B32" t="s">
        <v>161</v>
      </c>
      <c r="C32" t="s">
        <v>162</v>
      </c>
      <c r="D32" t="s">
        <v>163</v>
      </c>
      <c r="E32" t="s">
        <v>28</v>
      </c>
      <c r="F32" t="s">
        <v>164</v>
      </c>
      <c r="G32" t="s">
        <v>165</v>
      </c>
      <c r="H32">
        <v>31</v>
      </c>
      <c r="I32" t="s">
        <v>292</v>
      </c>
      <c r="J32" t="str">
        <f>MID(F2,5,3)</f>
        <v>CHN</v>
      </c>
    </row>
    <row r="33" spans="1:10" x14ac:dyDescent="0.25">
      <c r="A33">
        <v>32</v>
      </c>
      <c r="B33" t="s">
        <v>166</v>
      </c>
      <c r="C33" t="s">
        <v>167</v>
      </c>
      <c r="D33" t="s">
        <v>168</v>
      </c>
      <c r="E33" t="s">
        <v>16</v>
      </c>
      <c r="F33" t="s">
        <v>169</v>
      </c>
      <c r="G33" t="s">
        <v>170</v>
      </c>
      <c r="H33">
        <v>32</v>
      </c>
      <c r="I33" t="s">
        <v>293</v>
      </c>
      <c r="J33" t="str">
        <f>LOWER(SUBSTITUTE(B2," ",""))&amp;RIGHT(F2,4)</f>
        <v>rajkumar2024</v>
      </c>
    </row>
    <row r="34" spans="1:10" x14ac:dyDescent="0.25">
      <c r="A34">
        <v>33</v>
      </c>
      <c r="B34" t="s">
        <v>171</v>
      </c>
      <c r="C34" t="s">
        <v>172</v>
      </c>
      <c r="D34" t="s">
        <v>173</v>
      </c>
      <c r="E34" t="s">
        <v>45</v>
      </c>
      <c r="F34" t="s">
        <v>174</v>
      </c>
      <c r="G34" t="s">
        <v>175</v>
      </c>
      <c r="H34">
        <v>33</v>
      </c>
      <c r="I34" t="s">
        <v>294</v>
      </c>
      <c r="J34" t="str">
        <f>SUBSTITUTE(SUBSTITUTE(SUBSTITUTE(SUBSTITUTE(SUBSTITUTE(SUBSTITUTE(SUBSTITUTE(SUBSTITUTE(SUBSTITUTE(SUBSTITUTE(F31,"0",""),"1",""),"2",""),"3",""),"4",""),"5",""),"6",""),"7",""),"8",""),"9","")</f>
        <v>EMP-CHN-</v>
      </c>
    </row>
    <row r="35" spans="1:10" x14ac:dyDescent="0.25">
      <c r="A35">
        <v>34</v>
      </c>
      <c r="B35" t="s">
        <v>176</v>
      </c>
      <c r="C35" t="s">
        <v>177</v>
      </c>
      <c r="D35" t="s">
        <v>178</v>
      </c>
      <c r="E35" t="s">
        <v>22</v>
      </c>
      <c r="F35" t="s">
        <v>179</v>
      </c>
      <c r="G35" t="s">
        <v>180</v>
      </c>
      <c r="H35">
        <v>34</v>
      </c>
      <c r="I35" t="s">
        <v>295</v>
      </c>
      <c r="J35" t="str">
        <f>SUBSTITUTE(SUBSTITUTE(SUBSTITUTE(SUBSTITUTE(SUBSTITUTE(F2,"E",""),"M",""),"P",""),"-",""),"C","")</f>
        <v>HN2024</v>
      </c>
    </row>
    <row r="36" spans="1:10" x14ac:dyDescent="0.25">
      <c r="A36">
        <v>35</v>
      </c>
      <c r="B36" t="s">
        <v>181</v>
      </c>
      <c r="C36" t="s">
        <v>182</v>
      </c>
      <c r="D36" t="s">
        <v>183</v>
      </c>
      <c r="E36" t="s">
        <v>28</v>
      </c>
      <c r="F36" t="s">
        <v>184</v>
      </c>
      <c r="G36" t="s">
        <v>185</v>
      </c>
      <c r="H36">
        <v>35</v>
      </c>
      <c r="I36" t="s">
        <v>296</v>
      </c>
      <c r="J36" t="str">
        <f>IF(LEN(B2)&gt;10,"Yes","No")</f>
        <v>No</v>
      </c>
    </row>
    <row r="37" spans="1:10" x14ac:dyDescent="0.25">
      <c r="A37">
        <v>36</v>
      </c>
      <c r="B37" t="s">
        <v>186</v>
      </c>
      <c r="C37" t="s">
        <v>187</v>
      </c>
      <c r="D37" t="s">
        <v>188</v>
      </c>
      <c r="E37" t="s">
        <v>10</v>
      </c>
      <c r="F37" t="s">
        <v>189</v>
      </c>
      <c r="G37" t="s">
        <v>190</v>
      </c>
      <c r="H37">
        <v>36</v>
      </c>
      <c r="I37" t="s">
        <v>297</v>
      </c>
      <c r="J37" t="str">
        <f>SUBSTITUTE(LEFT(C2,FIND("@",C2)-1),".","")</f>
        <v>rajkumar</v>
      </c>
    </row>
    <row r="38" spans="1:10" x14ac:dyDescent="0.25">
      <c r="A38">
        <v>37</v>
      </c>
      <c r="B38" t="s">
        <v>191</v>
      </c>
      <c r="C38" t="s">
        <v>192</v>
      </c>
      <c r="D38" t="s">
        <v>193</v>
      </c>
      <c r="E38" t="s">
        <v>16</v>
      </c>
      <c r="F38" t="s">
        <v>194</v>
      </c>
      <c r="G38" t="s">
        <v>195</v>
      </c>
      <c r="H38">
        <v>37</v>
      </c>
      <c r="I38" t="s">
        <v>298</v>
      </c>
      <c r="J38" t="str">
        <f>SUBSTITUTE(SUBSTITUTE(D2," ",""),"-","")</f>
        <v>9876543210</v>
      </c>
    </row>
    <row r="39" spans="1:10" x14ac:dyDescent="0.25">
      <c r="A39">
        <v>38</v>
      </c>
      <c r="B39" t="s">
        <v>196</v>
      </c>
      <c r="C39" t="s">
        <v>197</v>
      </c>
      <c r="D39" t="s">
        <v>198</v>
      </c>
      <c r="E39" t="s">
        <v>45</v>
      </c>
      <c r="F39" t="s">
        <v>199</v>
      </c>
      <c r="G39" t="s">
        <v>200</v>
      </c>
      <c r="H39">
        <v>38</v>
      </c>
      <c r="I39" t="s">
        <v>299</v>
      </c>
      <c r="J39" t="str">
        <f>"******"&amp;RIGHT(C39,11)</f>
        <v>******@company.in</v>
      </c>
    </row>
    <row r="40" spans="1:10" x14ac:dyDescent="0.25">
      <c r="A40">
        <v>39</v>
      </c>
      <c r="B40" t="s">
        <v>201</v>
      </c>
      <c r="C40" t="s">
        <v>202</v>
      </c>
      <c r="D40" t="s">
        <v>203</v>
      </c>
      <c r="E40" t="s">
        <v>22</v>
      </c>
      <c r="F40" t="s">
        <v>204</v>
      </c>
      <c r="G40" t="s">
        <v>205</v>
      </c>
      <c r="H40">
        <v>39</v>
      </c>
      <c r="I40" t="s">
        <v>300</v>
      </c>
      <c r="J40" t="str">
        <f>LEFT(B28,4)&amp;RIGHT(B28,4)</f>
        <v>Meenshmi</v>
      </c>
    </row>
    <row r="41" spans="1:10" x14ac:dyDescent="0.25">
      <c r="A41">
        <v>40</v>
      </c>
      <c r="B41" t="s">
        <v>206</v>
      </c>
      <c r="C41" t="s">
        <v>207</v>
      </c>
      <c r="D41" t="s">
        <v>208</v>
      </c>
      <c r="E41" t="s">
        <v>34</v>
      </c>
      <c r="F41" t="s">
        <v>209</v>
      </c>
      <c r="G41" t="s">
        <v>210</v>
      </c>
      <c r="H41">
        <v>40</v>
      </c>
      <c r="I41" t="s">
        <v>301</v>
      </c>
      <c r="J41" t="str">
        <f>LEFT(B2,FIND(" ",B2))&amp;UPPER(RIGHT(B2,LEN(B2)-FIND(" ",B2)))</f>
        <v>Raj KUMAR</v>
      </c>
    </row>
    <row r="42" spans="1:10" x14ac:dyDescent="0.25">
      <c r="A42">
        <v>41</v>
      </c>
      <c r="B42" t="s">
        <v>211</v>
      </c>
      <c r="C42" t="s">
        <v>212</v>
      </c>
      <c r="D42" t="s">
        <v>213</v>
      </c>
      <c r="E42" t="s">
        <v>16</v>
      </c>
      <c r="F42" t="s">
        <v>214</v>
      </c>
      <c r="G42" t="s">
        <v>215</v>
      </c>
      <c r="H42">
        <v>41</v>
      </c>
      <c r="I42" t="s">
        <v>302</v>
      </c>
      <c r="J42" t="str">
        <f>E45&amp;RIGHT(D45,3)</f>
        <v>Coimbatore321</v>
      </c>
    </row>
    <row r="43" spans="1:10" x14ac:dyDescent="0.25">
      <c r="A43">
        <v>42</v>
      </c>
      <c r="B43" t="s">
        <v>216</v>
      </c>
      <c r="C43" t="s">
        <v>217</v>
      </c>
      <c r="D43" t="s">
        <v>218</v>
      </c>
      <c r="E43" t="s">
        <v>10</v>
      </c>
      <c r="F43" t="s">
        <v>219</v>
      </c>
      <c r="G43" t="s">
        <v>220</v>
      </c>
      <c r="H43">
        <v>42</v>
      </c>
      <c r="I43" t="s">
        <v>303</v>
      </c>
      <c r="J43" t="str">
        <f>MID(B2,ROUNDUP(LEN(B2)/2,0),IF(MOD(LEN(B2),2)=0,2,1))</f>
        <v>K</v>
      </c>
    </row>
    <row r="44" spans="1:10" x14ac:dyDescent="0.25">
      <c r="A44">
        <v>43</v>
      </c>
      <c r="B44" t="s">
        <v>221</v>
      </c>
      <c r="C44" t="s">
        <v>222</v>
      </c>
      <c r="D44" t="s">
        <v>223</v>
      </c>
      <c r="E44" t="s">
        <v>45</v>
      </c>
      <c r="F44" t="s">
        <v>224</v>
      </c>
      <c r="G44" t="s">
        <v>225</v>
      </c>
      <c r="H44">
        <v>43</v>
      </c>
      <c r="I44" t="s">
        <v>304</v>
      </c>
      <c r="J44" t="str">
        <f>SUBSTITUTE(G37,E37,UPPER(E37))</f>
        <v>On promotion cycle</v>
      </c>
    </row>
    <row r="45" spans="1:10" x14ac:dyDescent="0.25">
      <c r="A45">
        <v>44</v>
      </c>
      <c r="B45" t="s">
        <v>226</v>
      </c>
      <c r="C45" t="s">
        <v>227</v>
      </c>
      <c r="D45" t="s">
        <v>228</v>
      </c>
      <c r="E45" t="s">
        <v>22</v>
      </c>
      <c r="F45" t="s">
        <v>229</v>
      </c>
      <c r="G45" t="s">
        <v>230</v>
      </c>
      <c r="H45">
        <v>44</v>
      </c>
      <c r="I45" t="s">
        <v>305</v>
      </c>
      <c r="J45" t="str">
        <f>LEFT(G2,1)&amp;MID(G2,FIND(" ",G2)+1,1)</f>
        <v>Af</v>
      </c>
    </row>
    <row r="46" spans="1:10" x14ac:dyDescent="0.25">
      <c r="A46">
        <v>45</v>
      </c>
      <c r="B46" t="s">
        <v>231</v>
      </c>
      <c r="C46" t="s">
        <v>232</v>
      </c>
      <c r="D46" t="s">
        <v>233</v>
      </c>
      <c r="E46" t="s">
        <v>28</v>
      </c>
      <c r="F46" t="s">
        <v>234</v>
      </c>
      <c r="G46" t="s">
        <v>235</v>
      </c>
      <c r="H46">
        <v>45</v>
      </c>
      <c r="I46" t="s">
        <v>306</v>
      </c>
      <c r="J46" t="str">
        <f>LEFT(B2,1)&amp;MID(B2,FIND(" ",B2)+1,1)&amp;MID(F2,5,3)</f>
        <v>RKCHN</v>
      </c>
    </row>
    <row r="47" spans="1:10" x14ac:dyDescent="0.25">
      <c r="A47">
        <v>46</v>
      </c>
      <c r="B47" t="s">
        <v>236</v>
      </c>
      <c r="C47" t="s">
        <v>237</v>
      </c>
      <c r="D47" t="s">
        <v>238</v>
      </c>
      <c r="E47" t="s">
        <v>10</v>
      </c>
      <c r="F47" t="s">
        <v>239</v>
      </c>
      <c r="G47" t="s">
        <v>240</v>
      </c>
      <c r="H47">
        <v>46</v>
      </c>
      <c r="I47" t="s">
        <v>307</v>
      </c>
      <c r="J47" t="str">
        <f>IF(ISNUMBER(FIND(".",C2)),"Yes","No")</f>
        <v>Yes</v>
      </c>
    </row>
    <row r="48" spans="1:10" x14ac:dyDescent="0.25">
      <c r="A48">
        <v>47</v>
      </c>
      <c r="B48" t="s">
        <v>241</v>
      </c>
      <c r="C48" t="s">
        <v>242</v>
      </c>
      <c r="D48" t="s">
        <v>243</v>
      </c>
      <c r="E48" t="s">
        <v>16</v>
      </c>
      <c r="F48" t="s">
        <v>244</v>
      </c>
      <c r="G48" t="s">
        <v>245</v>
      </c>
      <c r="H48">
        <v>47</v>
      </c>
      <c r="I48" t="s">
        <v>308</v>
      </c>
      <c r="J48" t="str">
        <f>LEFT(B2,FIND(" ",B2)-1)</f>
        <v>Raj</v>
      </c>
    </row>
    <row r="49" spans="1:10" x14ac:dyDescent="0.25">
      <c r="A49">
        <v>48</v>
      </c>
      <c r="B49" t="s">
        <v>246</v>
      </c>
      <c r="C49" t="s">
        <v>247</v>
      </c>
      <c r="D49" t="s">
        <v>248</v>
      </c>
      <c r="E49" t="s">
        <v>22</v>
      </c>
      <c r="F49" t="s">
        <v>249</v>
      </c>
      <c r="G49" t="s">
        <v>250</v>
      </c>
      <c r="H49">
        <v>48</v>
      </c>
      <c r="I49" t="s">
        <v>309</v>
      </c>
      <c r="J49" t="str">
        <f>TRIM(RIGHT(SUBSTITUTE(B2," ",REPT(" ",50)),50))</f>
        <v>Kumar</v>
      </c>
    </row>
    <row r="50" spans="1:10" x14ac:dyDescent="0.25">
      <c r="A50">
        <v>49</v>
      </c>
      <c r="B50" t="s">
        <v>251</v>
      </c>
      <c r="C50" t="s">
        <v>252</v>
      </c>
      <c r="D50" t="s">
        <v>253</v>
      </c>
      <c r="E50" t="s">
        <v>28</v>
      </c>
      <c r="F50" t="s">
        <v>254</v>
      </c>
      <c r="G50" t="s">
        <v>41</v>
      </c>
      <c r="H50">
        <v>49</v>
      </c>
      <c r="I50" t="s">
        <v>310</v>
      </c>
      <c r="J50" t="str">
        <f>"91-"&amp;D34</f>
        <v>91-9000765432</v>
      </c>
    </row>
    <row r="51" spans="1:10" x14ac:dyDescent="0.25">
      <c r="A51">
        <v>50</v>
      </c>
      <c r="B51" t="s">
        <v>255</v>
      </c>
      <c r="C51" t="s">
        <v>256</v>
      </c>
      <c r="D51" t="s">
        <v>257</v>
      </c>
      <c r="E51" t="s">
        <v>10</v>
      </c>
      <c r="F51" t="s">
        <v>258</v>
      </c>
      <c r="G51" t="s">
        <v>259</v>
      </c>
      <c r="H51">
        <v>50</v>
      </c>
      <c r="I51" t="s">
        <v>311</v>
      </c>
      <c r="J51">
        <f>LEN(TRIM(G2))-LEN(SUBSTITUTE(TRIM(G2)," ",""))+1</f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Views>
    <sheetView topLeftCell="A34" workbookViewId="0">
      <selection sqref="A1:B51"/>
    </sheetView>
  </sheetViews>
  <sheetFormatPr defaultRowHeight="15" x14ac:dyDescent="0.25"/>
  <cols>
    <col min="1" max="1" width="3.7109375" bestFit="1" customWidth="1"/>
    <col min="2" max="2" width="48.7109375" customWidth="1"/>
  </cols>
  <sheetData>
    <row r="1" spans="1:5" ht="14.45" x14ac:dyDescent="0.35">
      <c r="A1" s="1" t="s">
        <v>260</v>
      </c>
      <c r="B1" s="1" t="s">
        <v>261</v>
      </c>
      <c r="C1" s="1"/>
      <c r="D1" s="1"/>
      <c r="E1" s="1"/>
    </row>
    <row r="2" spans="1:5" ht="14.45" x14ac:dyDescent="0.35">
      <c r="A2">
        <v>1</v>
      </c>
      <c r="B2" t="s">
        <v>262</v>
      </c>
    </row>
    <row r="3" spans="1:5" ht="14.45" x14ac:dyDescent="0.35">
      <c r="A3">
        <v>2</v>
      </c>
      <c r="B3" t="s">
        <v>263</v>
      </c>
    </row>
    <row r="4" spans="1:5" ht="14.45" x14ac:dyDescent="0.35">
      <c r="A4">
        <v>3</v>
      </c>
      <c r="B4" t="s">
        <v>264</v>
      </c>
    </row>
    <row r="5" spans="1:5" ht="14.45" x14ac:dyDescent="0.35">
      <c r="A5">
        <v>4</v>
      </c>
      <c r="B5" t="s">
        <v>265</v>
      </c>
    </row>
    <row r="6" spans="1:5" ht="14.45" x14ac:dyDescent="0.35">
      <c r="A6">
        <v>5</v>
      </c>
      <c r="B6" t="s">
        <v>266</v>
      </c>
    </row>
    <row r="7" spans="1:5" ht="14.45" x14ac:dyDescent="0.35">
      <c r="A7">
        <v>6</v>
      </c>
      <c r="B7" t="s">
        <v>267</v>
      </c>
    </row>
    <row r="8" spans="1:5" ht="14.45" x14ac:dyDescent="0.35">
      <c r="A8">
        <v>7</v>
      </c>
      <c r="B8" t="s">
        <v>268</v>
      </c>
    </row>
    <row r="9" spans="1:5" ht="14.45" x14ac:dyDescent="0.35">
      <c r="A9">
        <v>8</v>
      </c>
      <c r="B9" t="s">
        <v>269</v>
      </c>
    </row>
    <row r="10" spans="1:5" ht="14.45" x14ac:dyDescent="0.35">
      <c r="A10">
        <v>9</v>
      </c>
      <c r="B10" t="s">
        <v>270</v>
      </c>
    </row>
    <row r="11" spans="1:5" ht="14.45" x14ac:dyDescent="0.35">
      <c r="A11">
        <v>10</v>
      </c>
      <c r="B11" t="s">
        <v>271</v>
      </c>
    </row>
    <row r="12" spans="1:5" ht="14.45" x14ac:dyDescent="0.35">
      <c r="A12">
        <v>11</v>
      </c>
      <c r="B12" t="s">
        <v>272</v>
      </c>
    </row>
    <row r="13" spans="1:5" ht="14.45" x14ac:dyDescent="0.35">
      <c r="A13">
        <v>12</v>
      </c>
      <c r="B13" t="s">
        <v>273</v>
      </c>
    </row>
    <row r="14" spans="1:5" ht="14.45" x14ac:dyDescent="0.35">
      <c r="A14">
        <v>13</v>
      </c>
      <c r="B14" t="s">
        <v>274</v>
      </c>
    </row>
    <row r="15" spans="1:5" ht="14.45" x14ac:dyDescent="0.35">
      <c r="A15">
        <v>14</v>
      </c>
      <c r="B15" t="s">
        <v>275</v>
      </c>
    </row>
    <row r="16" spans="1:5" ht="14.45" x14ac:dyDescent="0.35">
      <c r="A16">
        <v>15</v>
      </c>
      <c r="B16" t="s">
        <v>276</v>
      </c>
    </row>
    <row r="17" spans="1:2" ht="14.45" x14ac:dyDescent="0.35">
      <c r="A17">
        <v>16</v>
      </c>
      <c r="B17" t="s">
        <v>277</v>
      </c>
    </row>
    <row r="18" spans="1:2" ht="14.45" x14ac:dyDescent="0.35">
      <c r="A18">
        <v>17</v>
      </c>
      <c r="B18" t="s">
        <v>278</v>
      </c>
    </row>
    <row r="19" spans="1:2" ht="14.45" x14ac:dyDescent="0.35">
      <c r="A19">
        <v>18</v>
      </c>
      <c r="B19" t="s">
        <v>279</v>
      </c>
    </row>
    <row r="20" spans="1:2" ht="14.45" x14ac:dyDescent="0.35">
      <c r="A20">
        <v>19</v>
      </c>
      <c r="B20" t="s">
        <v>280</v>
      </c>
    </row>
    <row r="21" spans="1:2" ht="14.45" x14ac:dyDescent="0.35">
      <c r="A21">
        <v>20</v>
      </c>
      <c r="B21" t="s">
        <v>281</v>
      </c>
    </row>
    <row r="22" spans="1:2" ht="14.45" x14ac:dyDescent="0.35">
      <c r="A22">
        <v>21</v>
      </c>
      <c r="B22" t="s">
        <v>282</v>
      </c>
    </row>
    <row r="23" spans="1:2" ht="14.45" x14ac:dyDescent="0.35">
      <c r="A23">
        <v>22</v>
      </c>
      <c r="B23" t="s">
        <v>283</v>
      </c>
    </row>
    <row r="24" spans="1:2" ht="14.45" x14ac:dyDescent="0.35">
      <c r="A24">
        <v>23</v>
      </c>
      <c r="B24" t="s">
        <v>284</v>
      </c>
    </row>
    <row r="25" spans="1:2" ht="14.45" x14ac:dyDescent="0.35">
      <c r="A25">
        <v>24</v>
      </c>
      <c r="B25" t="s">
        <v>285</v>
      </c>
    </row>
    <row r="26" spans="1:2" ht="14.45" x14ac:dyDescent="0.35">
      <c r="A26">
        <v>25</v>
      </c>
      <c r="B26" t="s">
        <v>286</v>
      </c>
    </row>
    <row r="27" spans="1:2" ht="14.45" x14ac:dyDescent="0.35">
      <c r="A27">
        <v>26</v>
      </c>
      <c r="B27" t="s">
        <v>287</v>
      </c>
    </row>
    <row r="28" spans="1:2" ht="14.45" x14ac:dyDescent="0.35">
      <c r="A28">
        <v>27</v>
      </c>
      <c r="B28" t="s">
        <v>288</v>
      </c>
    </row>
    <row r="29" spans="1:2" ht="14.45" x14ac:dyDescent="0.35">
      <c r="A29">
        <v>28</v>
      </c>
      <c r="B29" t="s">
        <v>289</v>
      </c>
    </row>
    <row r="30" spans="1:2" ht="14.45" x14ac:dyDescent="0.35">
      <c r="A30">
        <v>29</v>
      </c>
      <c r="B30" t="s">
        <v>290</v>
      </c>
    </row>
    <row r="31" spans="1:2" ht="14.45" x14ac:dyDescent="0.35">
      <c r="A31">
        <v>30</v>
      </c>
      <c r="B31" t="s">
        <v>291</v>
      </c>
    </row>
    <row r="32" spans="1:2" ht="14.45" x14ac:dyDescent="0.35">
      <c r="A32">
        <v>31</v>
      </c>
      <c r="B32" t="s">
        <v>292</v>
      </c>
    </row>
    <row r="33" spans="1:2" ht="14.45" x14ac:dyDescent="0.35">
      <c r="A33">
        <v>32</v>
      </c>
      <c r="B33" t="s">
        <v>293</v>
      </c>
    </row>
    <row r="34" spans="1:2" ht="14.45" x14ac:dyDescent="0.35">
      <c r="A34">
        <v>33</v>
      </c>
      <c r="B34" t="s">
        <v>294</v>
      </c>
    </row>
    <row r="35" spans="1:2" ht="14.45" x14ac:dyDescent="0.35">
      <c r="A35">
        <v>34</v>
      </c>
      <c r="B35" t="s">
        <v>295</v>
      </c>
    </row>
    <row r="36" spans="1:2" ht="14.45" x14ac:dyDescent="0.35">
      <c r="A36">
        <v>35</v>
      </c>
      <c r="B36" t="s">
        <v>296</v>
      </c>
    </row>
    <row r="37" spans="1:2" ht="14.45" x14ac:dyDescent="0.35">
      <c r="A37">
        <v>36</v>
      </c>
      <c r="B37" t="s">
        <v>297</v>
      </c>
    </row>
    <row r="38" spans="1:2" ht="14.45" x14ac:dyDescent="0.35">
      <c r="A38">
        <v>37</v>
      </c>
      <c r="B38" t="s">
        <v>298</v>
      </c>
    </row>
    <row r="39" spans="1:2" ht="14.45" x14ac:dyDescent="0.35">
      <c r="A39">
        <v>38</v>
      </c>
      <c r="B39" t="s">
        <v>299</v>
      </c>
    </row>
    <row r="40" spans="1:2" ht="14.45" x14ac:dyDescent="0.35">
      <c r="A40">
        <v>39</v>
      </c>
      <c r="B40" t="s">
        <v>300</v>
      </c>
    </row>
    <row r="41" spans="1:2" ht="14.45" x14ac:dyDescent="0.35">
      <c r="A41">
        <v>40</v>
      </c>
      <c r="B41" t="s">
        <v>301</v>
      </c>
    </row>
    <row r="42" spans="1:2" ht="14.45" x14ac:dyDescent="0.35">
      <c r="A42">
        <v>41</v>
      </c>
      <c r="B42" t="s">
        <v>302</v>
      </c>
    </row>
    <row r="43" spans="1:2" ht="14.45" x14ac:dyDescent="0.35">
      <c r="A43">
        <v>42</v>
      </c>
      <c r="B43" t="s">
        <v>303</v>
      </c>
    </row>
    <row r="44" spans="1:2" ht="14.45" x14ac:dyDescent="0.35">
      <c r="A44">
        <v>43</v>
      </c>
      <c r="B44" t="s">
        <v>304</v>
      </c>
    </row>
    <row r="45" spans="1:2" ht="14.45" x14ac:dyDescent="0.35">
      <c r="A45">
        <v>44</v>
      </c>
      <c r="B45" t="s">
        <v>305</v>
      </c>
    </row>
    <row r="46" spans="1:2" ht="14.45" x14ac:dyDescent="0.35">
      <c r="A46">
        <v>45</v>
      </c>
      <c r="B46" t="s">
        <v>306</v>
      </c>
    </row>
    <row r="47" spans="1:2" x14ac:dyDescent="0.25">
      <c r="A47">
        <v>46</v>
      </c>
      <c r="B47" t="s">
        <v>307</v>
      </c>
    </row>
    <row r="48" spans="1:2" x14ac:dyDescent="0.25">
      <c r="A48">
        <v>47</v>
      </c>
      <c r="B48" t="s">
        <v>308</v>
      </c>
    </row>
    <row r="49" spans="1:2" x14ac:dyDescent="0.25">
      <c r="A49">
        <v>48</v>
      </c>
      <c r="B49" t="s">
        <v>309</v>
      </c>
    </row>
    <row r="50" spans="1:2" x14ac:dyDescent="0.25">
      <c r="A50">
        <v>49</v>
      </c>
      <c r="B50" t="s">
        <v>310</v>
      </c>
    </row>
    <row r="51" spans="1:2" x14ac:dyDescent="0.25">
      <c r="A51">
        <v>50</v>
      </c>
      <c r="B51" t="s">
        <v>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Exercises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2025-11-18T08:43:53Z</dcterms:created>
  <dcterms:modified xsi:type="dcterms:W3CDTF">2025-11-19T10:19:53Z</dcterms:modified>
</cp:coreProperties>
</file>