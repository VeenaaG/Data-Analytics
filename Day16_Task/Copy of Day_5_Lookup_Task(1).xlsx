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90" windowWidth="17175" windowHeight="6165"/>
  </bookViews>
  <sheets>
    <sheet name="Vlookup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28" i="2" l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<sst xmlns="http://schemas.openxmlformats.org/spreadsheetml/2006/main" count="126" uniqueCount="95">
  <si>
    <t>ID</t>
  </si>
  <si>
    <t>Name</t>
  </si>
  <si>
    <t xml:space="preserve">    Dept</t>
  </si>
  <si>
    <t>Salary</t>
  </si>
  <si>
    <t>City</t>
  </si>
  <si>
    <t>Email</t>
  </si>
  <si>
    <t>E101</t>
  </si>
  <si>
    <t>Ravi</t>
  </si>
  <si>
    <t xml:space="preserve">    HR</t>
  </si>
  <si>
    <t>Chennai</t>
  </si>
  <si>
    <t>ravi@abc.com</t>
  </si>
  <si>
    <t>E102</t>
  </si>
  <si>
    <t>Priya</t>
  </si>
  <si>
    <t xml:space="preserve">    IT</t>
  </si>
  <si>
    <t>Madurai</t>
  </si>
  <si>
    <t>priya@abc.com</t>
  </si>
  <si>
    <t>E103</t>
  </si>
  <si>
    <t>Kumar</t>
  </si>
  <si>
    <t xml:space="preserve">    Finance</t>
  </si>
  <si>
    <t>Trichy</t>
  </si>
  <si>
    <t>kumar@abc.com</t>
  </si>
  <si>
    <t>E104</t>
  </si>
  <si>
    <t>Divya</t>
  </si>
  <si>
    <t>Salem</t>
  </si>
  <si>
    <t>divya@abc.com</t>
  </si>
  <si>
    <t>E105</t>
  </si>
  <si>
    <t>Sathish</t>
  </si>
  <si>
    <t xml:space="preserve">    Admin</t>
  </si>
  <si>
    <t>sathish@abc.com</t>
  </si>
  <si>
    <t>E106</t>
  </si>
  <si>
    <t>Meena</t>
  </si>
  <si>
    <t>Coimbatore</t>
  </si>
  <si>
    <t>meena@abc.com</t>
  </si>
  <si>
    <t>E107</t>
  </si>
  <si>
    <t>Anand</t>
  </si>
  <si>
    <t>anand@abc.com</t>
  </si>
  <si>
    <t>E108</t>
  </si>
  <si>
    <t>Kavya</t>
  </si>
  <si>
    <t>kavya@abc.com</t>
  </si>
  <si>
    <t>E109</t>
  </si>
  <si>
    <t>Suresh</t>
  </si>
  <si>
    <t>suresh@abc.com</t>
  </si>
  <si>
    <t>E110</t>
  </si>
  <si>
    <t>Deepa</t>
  </si>
  <si>
    <t>deepa@abc.com</t>
  </si>
  <si>
    <t>Q1. Find the Department of employee E105</t>
  </si>
  <si>
    <t>Q2. Find the Salary of employee E102</t>
  </si>
  <si>
    <t>Q3. Find the City of employee E109</t>
  </si>
  <si>
    <t>Q4. Find the Name of employee E103</t>
  </si>
  <si>
    <t>Q5. Find the Email of employee E108</t>
  </si>
  <si>
    <t>Q6. Find the Salary of employee E101</t>
  </si>
  <si>
    <t>Q7. Find the Department of employee E110</t>
  </si>
  <si>
    <t>Q8. Find the Name of employee E104</t>
  </si>
  <si>
    <t>Q9. Find the City of employee E106</t>
  </si>
  <si>
    <t>Q10. Find the Department of employee E109</t>
  </si>
  <si>
    <t>Q11. Find the Email of employee E107</t>
  </si>
  <si>
    <t>Q12. Find the Salary of employee E105</t>
  </si>
  <si>
    <t>Q13. Find the City of employee E103</t>
  </si>
  <si>
    <t>Q14. Find the Name of employee E102</t>
  </si>
  <si>
    <t>Q15. Find the Department of employee E108</t>
  </si>
  <si>
    <t>Q16. Find the Salary of employee E110</t>
  </si>
  <si>
    <t>Q17. Find the Email of employee E104</t>
  </si>
  <si>
    <t>Q18. Find the City of employee E101</t>
  </si>
  <si>
    <t>Q19. Find the Name of employee E107</t>
  </si>
  <si>
    <t>Q20. Find the Department of employee E103</t>
  </si>
  <si>
    <t>Field</t>
  </si>
  <si>
    <t xml:space="preserve">    E101</t>
  </si>
  <si>
    <t xml:space="preserve">    Ravi</t>
  </si>
  <si>
    <t>Dept</t>
  </si>
  <si>
    <t>IT</t>
  </si>
  <si>
    <t>Finance</t>
  </si>
  <si>
    <t>Admin</t>
  </si>
  <si>
    <t>HR</t>
  </si>
  <si>
    <t>Rating</t>
  </si>
  <si>
    <t>Q1. Find the Name of employee E103</t>
  </si>
  <si>
    <t>Q2. Find the Dept of employee E102</t>
  </si>
  <si>
    <t>Q3. Find the Salary of employee E105</t>
  </si>
  <si>
    <t>Q4. Find the City of employee E106</t>
  </si>
  <si>
    <t>Q5. Find the Rating of employee E104</t>
  </si>
  <si>
    <t>Q6. Find the Dept of employee E101</t>
  </si>
  <si>
    <t>Q7. Find the Salary of employee E102</t>
  </si>
  <si>
    <t>Q8. Find the City of employee E103</t>
  </si>
  <si>
    <t>Q9. Find the Name of employee E106</t>
  </si>
  <si>
    <t>Q10. Find the Rating of employee E105</t>
  </si>
  <si>
    <t>Q11. Find the Name of employee E104</t>
  </si>
  <si>
    <t>Q12. Find the City of employee E101</t>
  </si>
  <si>
    <t>Q13. Find the Dept of employee E106</t>
  </si>
  <si>
    <t>Q14. Find the Salary of employee E103</t>
  </si>
  <si>
    <t>Q15. Find the Rating of employee E102</t>
  </si>
  <si>
    <t>Q16. Find the City of employee E105</t>
  </si>
  <si>
    <t>Q17. Find the Dept of employee E104</t>
  </si>
  <si>
    <t>Q18. Find the Name of employee E105</t>
  </si>
  <si>
    <t>Q19. Find the Rating of employee E103</t>
  </si>
  <si>
    <t>Q20. Find the Salary of employee E106</t>
  </si>
  <si>
    <t xml:space="preserve">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</si>
</sst>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B33" sqref="B33"/>
    </sheetView>
  </sheetViews>
  <sheetFormatPr defaultColWidth="16" defaultRowHeight="15" x14ac:dyDescent="0.25"/>
  <cols>
    <col min="1" max="1" width="5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35000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48000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52000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13</v>
      </c>
      <c r="D5">
        <v>45000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>
        <v>30000</v>
      </c>
      <c r="E6" t="s">
        <v>9</v>
      </c>
      <c r="F6" t="s">
        <v>28</v>
      </c>
    </row>
    <row r="7" spans="1:6" x14ac:dyDescent="0.25">
      <c r="A7" t="s">
        <v>29</v>
      </c>
      <c r="B7" t="s">
        <v>30</v>
      </c>
      <c r="C7" t="s">
        <v>8</v>
      </c>
      <c r="D7">
        <v>38000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18</v>
      </c>
      <c r="D8">
        <v>55000</v>
      </c>
      <c r="E8" t="s">
        <v>14</v>
      </c>
      <c r="F8" t="s">
        <v>35</v>
      </c>
    </row>
    <row r="9" spans="1:6" x14ac:dyDescent="0.25">
      <c r="A9" t="s">
        <v>36</v>
      </c>
      <c r="B9" t="s">
        <v>37</v>
      </c>
      <c r="C9" t="s">
        <v>13</v>
      </c>
      <c r="D9">
        <v>47000</v>
      </c>
      <c r="E9" t="s">
        <v>9</v>
      </c>
      <c r="F9" t="s">
        <v>38</v>
      </c>
    </row>
    <row r="10" spans="1:6" x14ac:dyDescent="0.25">
      <c r="A10" t="s">
        <v>39</v>
      </c>
      <c r="B10" t="s">
        <v>40</v>
      </c>
      <c r="C10" t="s">
        <v>27</v>
      </c>
      <c r="D10">
        <v>32000</v>
      </c>
      <c r="E10" t="s">
        <v>19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>
        <v>36000</v>
      </c>
      <c r="E11" t="s">
        <v>23</v>
      </c>
      <c r="F11" t="s">
        <v>44</v>
      </c>
    </row>
    <row r="14" spans="1:6" ht="15.75" x14ac:dyDescent="0.25">
      <c r="A14" s="2" t="s">
        <v>45</v>
      </c>
      <c r="B14" t="str">
        <f>VLOOKUP(A6,A6:C11,3,FALSE)</f>
        <v xml:space="preserve">    Admin</v>
      </c>
    </row>
    <row r="15" spans="1:6" ht="15.75" x14ac:dyDescent="0.25">
      <c r="A15" s="2" t="s">
        <v>46</v>
      </c>
      <c r="B15" s="1">
        <f>VLOOKUP(A3,A3:D11,4,FALSE)</f>
        <v>48000</v>
      </c>
    </row>
    <row r="16" spans="1:6" ht="15.75" x14ac:dyDescent="0.25">
      <c r="A16" s="2" t="s">
        <v>47</v>
      </c>
      <c r="B16" t="str">
        <f>VLOOKUP(A10,A10:E10,5,FALSE)</f>
        <v>Trichy</v>
      </c>
    </row>
    <row r="17" spans="1:2" ht="15.75" x14ac:dyDescent="0.25">
      <c r="A17" s="2" t="s">
        <v>48</v>
      </c>
      <c r="B17" t="str">
        <f>VLOOKUP(A4,A4:B4,2,FALSE)</f>
        <v>Kumar</v>
      </c>
    </row>
    <row r="18" spans="1:2" ht="15.75" x14ac:dyDescent="0.25">
      <c r="A18" s="2" t="s">
        <v>49</v>
      </c>
      <c r="B18" t="str">
        <f>VLOOKUP(A9,A9:F9,6,FALSE)</f>
        <v>kavya@abc.com</v>
      </c>
    </row>
    <row r="19" spans="1:2" ht="15.75" x14ac:dyDescent="0.25">
      <c r="A19" s="2" t="s">
        <v>50</v>
      </c>
      <c r="B19" s="1">
        <f>VLOOKUP(A2,A2:D2,4,FALSE)</f>
        <v>35000</v>
      </c>
    </row>
    <row r="20" spans="1:2" ht="15.75" x14ac:dyDescent="0.25">
      <c r="A20" s="2" t="s">
        <v>51</v>
      </c>
      <c r="B20" t="str">
        <f>VLOOKUP(A11,A11:C11,3,FALSE)</f>
        <v xml:space="preserve">    HR</v>
      </c>
    </row>
    <row r="21" spans="1:2" ht="15.75" x14ac:dyDescent="0.25">
      <c r="A21" s="2" t="s">
        <v>52</v>
      </c>
      <c r="B21" t="str">
        <f>VLOOKUP(A5,A5:B5,2,FALSE)</f>
        <v>Divya</v>
      </c>
    </row>
    <row r="22" spans="1:2" ht="15.75" x14ac:dyDescent="0.25">
      <c r="A22" s="2" t="s">
        <v>53</v>
      </c>
      <c r="B22" t="str">
        <f>VLOOKUP(A7,A7:E7,5,FALSE)</f>
        <v>Coimbatore</v>
      </c>
    </row>
    <row r="23" spans="1:2" ht="15.75" x14ac:dyDescent="0.25">
      <c r="A23" s="2" t="s">
        <v>54</v>
      </c>
      <c r="B23" t="str">
        <f>VLOOKUP(A10,A10:C10,3,FALSE)</f>
        <v xml:space="preserve">    Admin</v>
      </c>
    </row>
    <row r="24" spans="1:2" ht="15.75" x14ac:dyDescent="0.25">
      <c r="A24" s="2" t="s">
        <v>55</v>
      </c>
      <c r="B24" t="str">
        <f>VLOOKUP(A8,A8:F8,6,FALSE)</f>
        <v>anand@abc.com</v>
      </c>
    </row>
    <row r="25" spans="1:2" ht="15.75" x14ac:dyDescent="0.25">
      <c r="A25" s="2" t="s">
        <v>56</v>
      </c>
      <c r="B25" s="1">
        <f>VLOOKUP(A6,A6:D6,4,FALSE)</f>
        <v>30000</v>
      </c>
    </row>
    <row r="26" spans="1:2" ht="15.75" x14ac:dyDescent="0.25">
      <c r="A26" s="2" t="s">
        <v>57</v>
      </c>
      <c r="B26" t="str">
        <f>VLOOKUP(A4,A4:E4,5,FALSE)</f>
        <v>Trichy</v>
      </c>
    </row>
    <row r="27" spans="1:2" ht="15.75" x14ac:dyDescent="0.25">
      <c r="A27" s="2" t="s">
        <v>58</v>
      </c>
      <c r="B27" t="str">
        <f>VLOOKUP(A3,A3:B3,2,FALSE)</f>
        <v>Priya</v>
      </c>
    </row>
    <row r="28" spans="1:2" ht="15.75" x14ac:dyDescent="0.25">
      <c r="A28" s="2" t="s">
        <v>59</v>
      </c>
      <c r="B28" t="str">
        <f>VLOOKUP(A9,A9:C11,3,FALSE)</f>
        <v xml:space="preserve">    IT</v>
      </c>
    </row>
    <row r="29" spans="1:2" ht="15.75" x14ac:dyDescent="0.25">
      <c r="A29" s="2" t="s">
        <v>60</v>
      </c>
      <c r="B29" s="1">
        <f>VLOOKUP(A11,A11:D11,4,FALSE)</f>
        <v>36000</v>
      </c>
    </row>
    <row r="30" spans="1:2" ht="15.75" x14ac:dyDescent="0.25">
      <c r="A30" s="2" t="s">
        <v>61</v>
      </c>
      <c r="B30" t="str">
        <f>VLOOKUP(A5,A5:F8,6,FALSE)</f>
        <v>divya@abc.com</v>
      </c>
    </row>
    <row r="31" spans="1:2" ht="15.75" x14ac:dyDescent="0.25">
      <c r="A31" s="2" t="s">
        <v>62</v>
      </c>
      <c r="B31" t="str">
        <f>VLOOKUP(A2,A2:E2,5,FALSE)</f>
        <v>Chennai</v>
      </c>
    </row>
    <row r="32" spans="1:2" ht="15.75" x14ac:dyDescent="0.25">
      <c r="A32" s="2" t="s">
        <v>63</v>
      </c>
      <c r="B32" t="str">
        <f>VLOOKUP(A8,A8:B8,2,FALSE)</f>
        <v>Anand</v>
      </c>
    </row>
    <row r="33" spans="1:2" ht="15.75" x14ac:dyDescent="0.25">
      <c r="A33" s="2" t="s">
        <v>64</v>
      </c>
      <c r="B33" s="4" t="str">
        <f>VLOOKUP(A4,A4:C4,3,FALSE)</f>
        <v xml:space="preserve">    Finance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6" zoomScale="90" zoomScaleNormal="90" workbookViewId="0">
      <selection activeCell="B30" sqref="B30"/>
    </sheetView>
  </sheetViews>
  <sheetFormatPr defaultColWidth="15.42578125" defaultRowHeight="15" x14ac:dyDescent="0.25"/>
  <cols>
    <col min="1" max="1" width="41.140625" bestFit="1" customWidth="1"/>
  </cols>
  <sheetData>
    <row r="1" spans="1:7" x14ac:dyDescent="0.25">
      <c r="A1" t="s">
        <v>65</v>
      </c>
      <c r="B1" t="s">
        <v>66</v>
      </c>
      <c r="C1" t="s">
        <v>11</v>
      </c>
      <c r="D1" t="s">
        <v>16</v>
      </c>
      <c r="E1" t="s">
        <v>21</v>
      </c>
      <c r="F1" t="s">
        <v>25</v>
      </c>
      <c r="G1" t="s">
        <v>29</v>
      </c>
    </row>
    <row r="2" spans="1:7" x14ac:dyDescent="0.25">
      <c r="A2" t="s">
        <v>1</v>
      </c>
      <c r="B2" s="1" t="s">
        <v>67</v>
      </c>
      <c r="C2" s="1" t="s">
        <v>12</v>
      </c>
      <c r="D2" s="1" t="s">
        <v>17</v>
      </c>
      <c r="E2" s="1" t="s">
        <v>22</v>
      </c>
      <c r="F2" s="1" t="s">
        <v>26</v>
      </c>
      <c r="G2" s="1" t="s">
        <v>30</v>
      </c>
    </row>
    <row r="3" spans="1:7" x14ac:dyDescent="0.25">
      <c r="A3" t="s">
        <v>68</v>
      </c>
      <c r="B3" s="1" t="s">
        <v>8</v>
      </c>
      <c r="C3" s="1" t="s">
        <v>69</v>
      </c>
      <c r="D3" s="1" t="s">
        <v>70</v>
      </c>
      <c r="E3" s="1" t="s">
        <v>69</v>
      </c>
      <c r="F3" s="1" t="s">
        <v>71</v>
      </c>
      <c r="G3" s="1" t="s">
        <v>72</v>
      </c>
    </row>
    <row r="4" spans="1:7" x14ac:dyDescent="0.25">
      <c r="A4" t="s">
        <v>3</v>
      </c>
      <c r="B4" s="1">
        <v>35000</v>
      </c>
      <c r="C4" s="1">
        <v>48000</v>
      </c>
      <c r="D4" s="1">
        <v>52000</v>
      </c>
      <c r="E4" s="1">
        <v>45000</v>
      </c>
      <c r="F4" s="1">
        <v>30000</v>
      </c>
      <c r="G4" s="1">
        <v>38000</v>
      </c>
    </row>
    <row r="5" spans="1:7" x14ac:dyDescent="0.25">
      <c r="A5" t="s">
        <v>4</v>
      </c>
      <c r="B5" s="1" t="s">
        <v>94</v>
      </c>
      <c r="C5" s="1" t="s">
        <v>14</v>
      </c>
      <c r="D5" s="1" t="s">
        <v>19</v>
      </c>
      <c r="E5" s="1" t="s">
        <v>23</v>
      </c>
      <c r="F5" s="1" t="s">
        <v>9</v>
      </c>
      <c r="G5" s="1" t="s">
        <v>31</v>
      </c>
    </row>
    <row r="6" spans="1:7" x14ac:dyDescent="0.25">
      <c r="A6" t="s">
        <v>73</v>
      </c>
      <c r="B6" s="1">
        <v>4.2</v>
      </c>
      <c r="C6" s="1">
        <v>4.5999999999999996</v>
      </c>
      <c r="D6" s="1">
        <v>4.8</v>
      </c>
      <c r="E6" s="1">
        <v>4.3</v>
      </c>
      <c r="F6" s="1">
        <v>4.0999999999999996</v>
      </c>
      <c r="G6" s="1">
        <v>4.7</v>
      </c>
    </row>
    <row r="9" spans="1:7" ht="16.5" x14ac:dyDescent="0.25">
      <c r="A9" s="3" t="s">
        <v>74</v>
      </c>
      <c r="B9" t="str">
        <f>HLOOKUP(D1,D1:D2,2,FALSE)</f>
        <v>Kumar</v>
      </c>
    </row>
    <row r="10" spans="1:7" ht="16.5" x14ac:dyDescent="0.25">
      <c r="A10" s="3" t="s">
        <v>75</v>
      </c>
      <c r="B10" t="str">
        <f>HLOOKUP(C1,C1:C3,3,FALSE)</f>
        <v>IT</v>
      </c>
    </row>
    <row r="11" spans="1:7" ht="16.5" x14ac:dyDescent="0.25">
      <c r="A11" s="3" t="s">
        <v>76</v>
      </c>
      <c r="B11" s="1">
        <f>HLOOKUP(F1,F1:F4,4,FALSE)</f>
        <v>30000</v>
      </c>
    </row>
    <row r="12" spans="1:7" ht="16.5" x14ac:dyDescent="0.25">
      <c r="A12" s="3" t="s">
        <v>77</v>
      </c>
      <c r="B12" t="str">
        <f>HLOOKUP(G1,G1:G5,5,FALSE)</f>
        <v>Coimbatore</v>
      </c>
    </row>
    <row r="13" spans="1:7" ht="16.5" x14ac:dyDescent="0.25">
      <c r="A13" s="3" t="s">
        <v>78</v>
      </c>
      <c r="B13" s="1">
        <f>HLOOKUP(E1,E1:E6,6,FALSE)</f>
        <v>4.3</v>
      </c>
    </row>
    <row r="14" spans="1:7" ht="16.5" x14ac:dyDescent="0.25">
      <c r="A14" s="3" t="s">
        <v>79</v>
      </c>
      <c r="B14" s="4" t="str">
        <f>HLOOKUP(B1,B1:B3,3)</f>
        <v xml:space="preserve">    HR</v>
      </c>
    </row>
    <row r="15" spans="1:7" ht="16.5" x14ac:dyDescent="0.25">
      <c r="A15" s="3" t="s">
        <v>80</v>
      </c>
      <c r="B15" s="1">
        <f>HLOOKUP(C1,C1:C4,4,FALSE)</f>
        <v>48000</v>
      </c>
    </row>
    <row r="16" spans="1:7" ht="16.5" x14ac:dyDescent="0.25">
      <c r="A16" s="3" t="s">
        <v>81</v>
      </c>
      <c r="B16" t="str">
        <f>HLOOKUP(D1,D1:D5,5,FALSE)</f>
        <v>Trichy</v>
      </c>
    </row>
    <row r="17" spans="1:2" ht="16.5" x14ac:dyDescent="0.25">
      <c r="A17" s="3" t="s">
        <v>82</v>
      </c>
      <c r="B17" t="str">
        <f>HLOOKUP(G1,G1:G2,2,FALSE)</f>
        <v>Meena</v>
      </c>
    </row>
    <row r="18" spans="1:2" ht="16.5" x14ac:dyDescent="0.25">
      <c r="A18" s="3" t="s">
        <v>83</v>
      </c>
      <c r="B18" s="1">
        <f>HLOOKUP(F1,F1:F6,6,FALSE)</f>
        <v>4.0999999999999996</v>
      </c>
    </row>
    <row r="19" spans="1:2" ht="16.5" x14ac:dyDescent="0.25">
      <c r="A19" s="3" t="s">
        <v>84</v>
      </c>
      <c r="B19" t="str">
        <f>HLOOKUP(E1,E1:E2,2,FALSE)</f>
        <v>Divya</v>
      </c>
    </row>
    <row r="20" spans="1:2" ht="16.5" x14ac:dyDescent="0.25">
      <c r="A20" s="3" t="s">
        <v>85</v>
      </c>
      <c r="B20" t="str">
        <f>HLOOKUP(B1,B1:B5,5,FALSE)</f>
        <v xml:space="preserve"> Chennai</v>
      </c>
    </row>
    <row r="21" spans="1:2" ht="16.5" x14ac:dyDescent="0.25">
      <c r="A21" s="3" t="s">
        <v>86</v>
      </c>
      <c r="B21" t="str">
        <f>HLOOKUP(G1,G1:G3,3,FALSE)</f>
        <v>HR</v>
      </c>
    </row>
    <row r="22" spans="1:2" ht="16.5" x14ac:dyDescent="0.25">
      <c r="A22" s="3" t="s">
        <v>87</v>
      </c>
      <c r="B22" s="1">
        <f>HLOOKUP(D1,D1:D4,4,FALSE)</f>
        <v>52000</v>
      </c>
    </row>
    <row r="23" spans="1:2" ht="16.5" x14ac:dyDescent="0.25">
      <c r="A23" s="3" t="s">
        <v>88</v>
      </c>
      <c r="B23" s="1">
        <f>HLOOKUP(C1,C1:C6,6,FALSE)</f>
        <v>4.5999999999999996</v>
      </c>
    </row>
    <row r="24" spans="1:2" ht="16.5" x14ac:dyDescent="0.25">
      <c r="A24" s="3" t="s">
        <v>89</v>
      </c>
      <c r="B24" t="str">
        <f>HLOOKUP(F1,F1:F5,5,FALSE)</f>
        <v>Chennai</v>
      </c>
    </row>
    <row r="25" spans="1:2" ht="16.5" x14ac:dyDescent="0.25">
      <c r="A25" s="3" t="s">
        <v>90</v>
      </c>
      <c r="B25" t="str">
        <f>HLOOKUP(E1,E1:E3,3,FALSE)</f>
        <v>IT</v>
      </c>
    </row>
    <row r="26" spans="1:2" ht="16.5" x14ac:dyDescent="0.25">
      <c r="A26" s="3" t="s">
        <v>91</v>
      </c>
      <c r="B26" t="str">
        <f>HLOOKUP(F1,F1:F2,2,FALSE)</f>
        <v>Sathish</v>
      </c>
    </row>
    <row r="27" spans="1:2" ht="16.5" x14ac:dyDescent="0.25">
      <c r="A27" s="3" t="s">
        <v>92</v>
      </c>
      <c r="B27" s="1">
        <f>HLOOKUP(D1,D1:D6,6,FALSE)</f>
        <v>4.8</v>
      </c>
    </row>
    <row r="28" spans="1:2" ht="16.5" x14ac:dyDescent="0.25">
      <c r="A28" s="3" t="s">
        <v>93</v>
      </c>
      <c r="B28" s="1">
        <f>HLOOKUP(G1,G1:G4,4,FALSE)</f>
        <v>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</dc:creator>
  <cp:lastModifiedBy>admin</cp:lastModifiedBy>
  <dcterms:created xsi:type="dcterms:W3CDTF">2025-11-20T06:09:07Z</dcterms:created>
  <dcterms:modified xsi:type="dcterms:W3CDTF">2025-11-20T14:06:32Z</dcterms:modified>
</cp:coreProperties>
</file>